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Figure register" sheetId="2" state="visible" r:id="rId4"/>
  </sheets>
  <definedNames>
    <definedName function="false" hidden="true" localSheetId="1" name="_xlnm._FilterDatabase" vbProcedure="false">'Figure register'!$A$1:$P$26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<sst xmlns="http://schemas.openxmlformats.org/spreadsheetml/2006/main" count="374" uniqueCount="136">
  <si>
    <t xml:space="preserve">Figure-credits &amp; media-licence register</t>
  </si>
  <si>
    <t xml:space="preserve">Flinders Fertility · Education Program — Master of Reproductive Medicine rotation</t>
  </si>
  <si>
    <t xml:space="preserve">Purpose</t>
  </si>
  <si>
    <t xml:space="preserve">A single source of truth logging every figure and image used across the course modules — its origin, licence, attribution, and any modifications. Accreditation and quality reviewers will expect proof that all third-party media is properly licensed and attributed. Keep this current as images are added.</t>
  </si>
  <si>
    <t xml:space="preserve">How to use</t>
  </si>
  <si>
    <t xml:space="preserve">1.  Log EVERY figure — original illustrations as well as third-party images. A reviewer wants to see each one accounted for.</t>
  </si>
  <si>
    <t xml:space="preserve">2.  Fill the white columns. The 'Commercial-safe?' column fills in automatically from the Licence you choose.</t>
  </si>
  <si>
    <t xml:space="preserve">3.  Use the dropdowns in the Type, Licence and Modifications columns so entries stay consistent.</t>
  </si>
  <si>
    <t xml:space="preserve">4.  Paste the required credit line into the Attribution column; keep the Source URL to the file's licence page.</t>
  </si>
  <si>
    <t xml:space="preserve">5.  Green = safe to use commercially with attribution. Red = NOT safe once the course is paid. Amber = licence not yet confirmed.</t>
  </si>
  <si>
    <t xml:space="preserve">The licence rule that matters (commercial course)</t>
  </si>
  <si>
    <t xml:space="preserve">SAFE (green) — Public Domain / CC0, CC BY, CC BY-SA, and your own original work.  These permit commercial use and annotation with attribution (CC BY-SA also requires your derivative to carry a compatible licence).</t>
  </si>
  <si>
    <t xml:space="preserve">NOT SAFE (red) — any licence containing NC (non-commercial) or ND (no-derivatives). This includes Radiopaedia (CC BY-NC-SA) and StatPearls / NCBI Bookshelf figures (CC BY-NC-ND). Fine only while the course is genuinely free; ND also blocks cropping or labelling.</t>
  </si>
  <si>
    <t xml:space="preserve">Licence reference URLs</t>
  </si>
  <si>
    <t xml:space="preserve">CC0 / Public Domain:  https://creativecommons.org/publicdomain/zero/1.0/</t>
  </si>
  <si>
    <t xml:space="preserve">CC BY 4.0:  https://creativecommons.org/licenses/by/4.0/</t>
  </si>
  <si>
    <t xml:space="preserve">CC BY-SA 4.0:  https://creativecommons.org/licenses/by-sa/4.0/</t>
  </si>
  <si>
    <t xml:space="preserve">Attribution template (CC BY / CC BY-SA)</t>
  </si>
  <si>
    <t xml:space="preserve">[Author], "[File title]", via Wikimedia Commons, licensed under [CC BY-SA 4.0] ([licence URL]). [Cropped / annotated for teaching.]</t>
  </si>
  <si>
    <t xml:space="preserve">Note</t>
  </si>
  <si>
    <t xml:space="preserve">Pre-populated below are the 17 original SVG figures already created for Modules 1–4 (logged as cleared original work) plus 7 placeholder rows for the real Module-4 ultrasound images still to be sourced. Verify each individual file's licence on its Wikimedia Commons page before marking a placeholder cleared.</t>
  </si>
  <si>
    <t xml:space="preserve">Image ID</t>
  </si>
  <si>
    <t xml:space="preserve">Module</t>
  </si>
  <si>
    <t xml:space="preserve">Figure / section</t>
  </si>
  <si>
    <t xml:space="preserve">Description (what it shows)</t>
  </si>
  <si>
    <t xml:space="preserve">Type</t>
  </si>
  <si>
    <t xml:space="preserve">Source</t>
  </si>
  <si>
    <t xml:space="preserve">Author / contributor</t>
  </si>
  <si>
    <t xml:space="preserve">Source URL (licence page)</t>
  </si>
  <si>
    <t xml:space="preserve">Licence</t>
  </si>
  <si>
    <t xml:space="preserve">Licence URL</t>
  </si>
  <si>
    <t xml:space="preserve">Commercial-safe?</t>
  </si>
  <si>
    <t xml:space="preserve">Modifications</t>
  </si>
  <si>
    <t xml:space="preserve">Attribution / credit line</t>
  </si>
  <si>
    <t xml:space="preserve">Date added</t>
  </si>
  <si>
    <t xml:space="preserve">Verified by</t>
  </si>
  <si>
    <t xml:space="preserve">Notes / status</t>
  </si>
  <si>
    <t xml:space="preserve">EXAMPLE</t>
  </si>
  <si>
    <t xml:space="preserve">Module 4</t>
  </si>
  <si>
    <t xml:space="preserve">§5</t>
  </si>
  <si>
    <t xml:space="preserve">PCOM string of pearls (real TVS)</t>
  </si>
  <si>
    <t xml:space="preserve">Third-party image</t>
  </si>
  <si>
    <t xml:space="preserve">Wikimedia Commons</t>
  </si>
  <si>
    <t xml:space="preserve">J. Example</t>
  </si>
  <si>
    <t xml:space="preserve">https://commons.wikimedia.org/wiki/File:PCOS.jpg</t>
  </si>
  <si>
    <t xml:space="preserve">CC BY-SA 4.0</t>
  </si>
  <si>
    <t xml:space="preserve">https://creativecommons.org/licenses/by-sa/4.0/</t>
  </si>
  <si>
    <t xml:space="preserve">Cropped + annotated</t>
  </si>
  <si>
    <t xml:space="preserve">J. Example, "PCOS.jpg", via Wikimedia Commons, CC BY-SA 4.0 — annotated for teaching.</t>
  </si>
  <si>
    <t xml:space="preserve">2025-07-14</t>
  </si>
  <si>
    <t xml:space="preserve">(your initials)</t>
  </si>
  <si>
    <t xml:space="preserve">EXAMPLE ROW — overwrite or delete</t>
  </si>
  <si>
    <t xml:space="preserve">M1-F01</t>
  </si>
  <si>
    <t xml:space="preserve">Module 1</t>
  </si>
  <si>
    <t xml:space="preserve">Fig 1</t>
  </si>
  <si>
    <t xml:space="preserve">HPO axis: cascade &amp; feedback</t>
  </si>
  <si>
    <t xml:space="preserve">Original illustration</t>
  </si>
  <si>
    <t xml:space="preserve">Own work (Flinders Fertility Education Program)</t>
  </si>
  <si>
    <t xml:space="preserve">Flinders Fertility Education Program</t>
  </si>
  <si>
    <t xml:space="preserve">n/a (original)</t>
  </si>
  <si>
    <t xml:space="preserve">Own work – original</t>
  </si>
  <si>
    <t xml:space="preserve">n/a (original work)</t>
  </si>
  <si>
    <t xml:space="preserve">Created from scratch</t>
  </si>
  <si>
    <t xml:space="preserve">Original figure — Flinders Fertility Education Program</t>
  </si>
  <si>
    <t xml:space="preserve">Cleared — original SVG</t>
  </si>
  <si>
    <t xml:space="preserve">M1-F02</t>
  </si>
  <si>
    <t xml:space="preserve">Fig 2</t>
  </si>
  <si>
    <t xml:space="preserve">Two-cell, two-gonadotrophin model</t>
  </si>
  <si>
    <t xml:space="preserve">M1-F03</t>
  </si>
  <si>
    <t xml:space="preserve">Fig 3</t>
  </si>
  <si>
    <t xml:space="preserve">Integrated menstrual cycle (hormones/follicle/endometrium)</t>
  </si>
  <si>
    <t xml:space="preserve">M1-F04</t>
  </si>
  <si>
    <t xml:space="preserve">Fig 4</t>
  </si>
  <si>
    <t xml:space="preserve">Folliculogenesis &amp; gonadotrophin dependence</t>
  </si>
  <si>
    <t xml:space="preserve">M1-F05</t>
  </si>
  <si>
    <t xml:space="preserve">Fig 5</t>
  </si>
  <si>
    <t xml:space="preserve">The two meiotic arrests of oogenesis</t>
  </si>
  <si>
    <t xml:space="preserve">M1-F06</t>
  </si>
  <si>
    <t xml:space="preserve">Fig 6</t>
  </si>
  <si>
    <t xml:space="preserve">Window of implantation</t>
  </si>
  <si>
    <t xml:space="preserve">M2-F01</t>
  </si>
  <si>
    <t xml:space="preserve">Module 2</t>
  </si>
  <si>
    <t xml:space="preserve">Approximate contribution of causes (bar chart)</t>
  </si>
  <si>
    <t xml:space="preserve">M2-F02</t>
  </si>
  <si>
    <t xml:space="preserve">Standard diagnostic workup (algorithm)</t>
  </si>
  <si>
    <t xml:space="preserve">M2-F03</t>
  </si>
  <si>
    <t xml:space="preserve">Treatment escalation ladder</t>
  </si>
  <si>
    <t xml:space="preserve">M3-F01</t>
  </si>
  <si>
    <t xml:space="preserve">Module 3</t>
  </si>
  <si>
    <t xml:space="preserve">Antagonist vs agonist long protocol (timelines)</t>
  </si>
  <si>
    <t xml:space="preserve">M3-F02</t>
  </si>
  <si>
    <t xml:space="preserve">Trigger &amp; OHSS-prevention decision</t>
  </si>
  <si>
    <t xml:space="preserve">M3-F03</t>
  </si>
  <si>
    <t xml:space="preserve">Laboratory workflow (OPU → transfer)</t>
  </si>
  <si>
    <t xml:space="preserve">M3-F04</t>
  </si>
  <si>
    <t xml:space="preserve">Gardner blastocyst grading</t>
  </si>
  <si>
    <t xml:space="preserve">M4-F01</t>
  </si>
  <si>
    <t xml:space="preserve">Follicle tracking &amp; the trigger point</t>
  </si>
  <si>
    <t xml:space="preserve">M4-F02</t>
  </si>
  <si>
    <t xml:space="preserve">FIGO leiomyoma classification (0–8)</t>
  </si>
  <si>
    <t xml:space="preserve">M4-F03</t>
  </si>
  <si>
    <t xml:space="preserve">Polycystic ovarian morphology</t>
  </si>
  <si>
    <t xml:space="preserve">M4-F04</t>
  </si>
  <si>
    <t xml:space="preserve">Early pregnancy milestones &amp; viability thresholds</t>
  </si>
  <si>
    <t xml:space="preserve">M4-IMG01</t>
  </si>
  <si>
    <t xml:space="preserve">§3</t>
  </si>
  <si>
    <t xml:space="preserve">Trilaminar (triple-line) endometrium — real TVS</t>
  </si>
  <si>
    <t xml:space="preserve">(confirm on file page)</t>
  </si>
  <si>
    <t xml:space="preserve">https://commons.wikimedia.org/wiki/Category:Vaginal_ultrasonography</t>
  </si>
  <si>
    <t xml:space="preserve">To source / TBD</t>
  </si>
  <si>
    <t xml:space="preserve">Annotated</t>
  </si>
  <si>
    <t xml:space="preserve">(add credit line once file &amp; licence confirmed)</t>
  </si>
  <si>
    <t xml:space="preserve">TO SOURCE — verify licence on file page</t>
  </si>
  <si>
    <t xml:space="preserve">M4-IMG02</t>
  </si>
  <si>
    <t xml:space="preserve">PCOM 'string of pearls' — real TVS</t>
  </si>
  <si>
    <t xml:space="preserve">https://commons.wikimedia.org/wiki/Category:Ultrasound_images_of_polycystic_ovaries</t>
  </si>
  <si>
    <t xml:space="preserve">M4-IMG03</t>
  </si>
  <si>
    <t xml:space="preserve">§4</t>
  </si>
  <si>
    <t xml:space="preserve">Submucosal fibroid distorting cavity — real TVS</t>
  </si>
  <si>
    <t xml:space="preserve">https://commons.wikimedia.org/wiki/Category:Ultrasound_images_of_uterine_fibroids</t>
  </si>
  <si>
    <t xml:space="preserve">M4-IMG04</t>
  </si>
  <si>
    <t xml:space="preserve">Endometrioma 'ground-glass' — real TVS</t>
  </si>
  <si>
    <t xml:space="preserve">Wikimedia Commons / PMC OA</t>
  </si>
  <si>
    <t xml:space="preserve">https://commons.wikimedia.org/wiki/Category:Ultrasound_images_of_ovarian_cysts</t>
  </si>
  <si>
    <t xml:space="preserve">M4-IMG05</t>
  </si>
  <si>
    <t xml:space="preserve">§6</t>
  </si>
  <si>
    <t xml:space="preserve">Hydrosalpinx — tubular fluid-filled adnexa</t>
  </si>
  <si>
    <t xml:space="preserve">https://en.wikipedia.org/wiki/Hydrosalpinx</t>
  </si>
  <si>
    <t xml:space="preserve">M4-IMG06</t>
  </si>
  <si>
    <t xml:space="preserve">§7</t>
  </si>
  <si>
    <t xml:space="preserve">Gestational sac / yolk sac / fetal pole — real TVS</t>
  </si>
  <si>
    <t xml:space="preserve">Mikael Häggström (likely PD)</t>
  </si>
  <si>
    <t xml:space="preserve">https://commons.wikimedia.org/wiki/Category:Obstetric_ultrasonography</t>
  </si>
  <si>
    <t xml:space="preserve">M4-IMG07</t>
  </si>
  <si>
    <t xml:space="preserve">§2</t>
  </si>
  <si>
    <t xml:space="preserve">Follicle tracking / OHSS ovary — real TVS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</si>
</sst>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A6B7A"/>
      <name val="Arial"/>
      <family val="0"/>
      <charset val="1"/>
    </font>
    <font>
      <sz val="11"/>
      <color rgb="FF718096"/>
      <name val="Arial"/>
      <family val="0"/>
      <charset val="1"/>
    </font>
    <font>
      <b val="true"/>
      <sz val="13"/>
      <color rgb="FF1A6B7A"/>
      <name val="Arial"/>
      <family val="0"/>
      <charset val="1"/>
    </font>
    <font>
      <sz val="11"/>
      <color rgb="FF37424A"/>
      <name val="Arial"/>
      <family val="0"/>
      <charset val="1"/>
    </font>
    <font>
      <i val="true"/>
      <sz val="11"/>
      <color rgb="FF37424A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i val="true"/>
      <sz val="10"/>
      <color rgb="FF9AA5B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37424A"/>
      <name val="Arial"/>
      <family val="0"/>
      <charset val="1"/>
    </font>
    <font>
      <sz val="10"/>
      <color rgb="FF8A5A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5F0DD"/>
        <bgColor rgb="FFCCFFFF"/>
      </patternFill>
    </fill>
    <fill>
      <patternFill patternType="solid">
        <fgColor rgb="FFFCE8E8"/>
        <bgColor rgb="FFFEF3C7"/>
      </patternFill>
    </fill>
    <fill>
      <patternFill patternType="solid">
        <fgColor rgb="FFF7FAFC"/>
        <bgColor rgb="FFFFFFFF"/>
      </patternFill>
    </fill>
    <fill>
      <patternFill patternType="solid">
        <fgColor rgb="FF1A6B7A"/>
        <bgColor rgb="FF27674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A6B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424A"/>
          <bgColor rgb="FF000000"/>
        </patternFill>
      </fill>
    </dxf>
    <dxf>
      <fill>
        <patternFill patternType="solid">
          <fgColor rgb="FF8A5A12"/>
          <bgColor rgb="FF000000"/>
        </patternFill>
      </fill>
    </dxf>
    <dxf>
      <fill>
        <patternFill patternType="solid">
          <fgColor rgb="FF9AA5B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0DD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276749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Arial"/>
        <charset val="1"/>
        <family val="0"/>
        <b val="1"/>
        <color rgb="FF276749"/>
        <sz val="10"/>
      </font>
      <fill>
        <patternFill>
          <bgColor rgb="FFD5F0DD"/>
        </patternFill>
      </fill>
    </dxf>
    <dxf>
      <font>
        <name val="Arial"/>
        <charset val="1"/>
        <family val="0"/>
        <b val="1"/>
        <color rgb="FFB03030"/>
        <sz val="10"/>
      </font>
      <fill>
        <patternFill>
          <bgColor rgb="FFFCE8E8"/>
        </patternFill>
      </fill>
    </dxf>
    <dxf>
      <font>
        <name val="Arial"/>
        <charset val="1"/>
        <family val="0"/>
        <b val="1"/>
        <color rgb="FFB7791F"/>
        <sz val="10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1A6B7A"/>
      <rgbColor rgb="FFC0C0C0"/>
      <rgbColor rgb="FF718096"/>
      <rgbColor rgb="FF9999FF"/>
      <rgbColor rgb="FF993366"/>
      <rgbColor rgb="FFFEF3C7"/>
      <rgbColor rgb="FFF7FAFC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CCFFFF"/>
      <rgbColor rgb="FFD5F0DD"/>
      <rgbColor rgb="FFFC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7791F"/>
      <rgbColor rgb="FF666699"/>
      <rgbColor rgb="FF9AA5B1"/>
      <rgbColor rgb="FF003366"/>
      <rgbColor rgb="FF339966"/>
      <rgbColor rgb="FF003300"/>
      <rgbColor rgb="FF333300"/>
      <rgbColor rgb="FFB03030"/>
      <rgbColor rgb="FF993366"/>
      <rgbColor rgb="FF333399"/>
      <rgbColor rgb="FF3742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20.9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43.5" hidden="false" customHeight="true" outlineLevel="0" collapsed="false">
      <c r="B6" s="4" t="s">
        <v>3</v>
      </c>
    </row>
    <row r="8" customFormat="false" ht="16.15" hidden="false" customHeight="false" outlineLevel="0" collapsed="false">
      <c r="B8" s="3" t="s">
        <v>4</v>
      </c>
    </row>
    <row r="9" customFormat="false" ht="26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26.85" hidden="false" customHeight="false" outlineLevel="0" collapsed="false">
      <c r="B13" s="4" t="s">
        <v>9</v>
      </c>
    </row>
    <row r="15" customFormat="false" ht="16.15" hidden="false" customHeight="false" outlineLevel="0" collapsed="false">
      <c r="B15" s="3" t="s">
        <v>10</v>
      </c>
    </row>
    <row r="16" customFormat="false" ht="39.75" hidden="false" customHeight="true" outlineLevel="0" collapsed="false">
      <c r="B16" s="5" t="s">
        <v>11</v>
      </c>
    </row>
    <row r="17" customFormat="false" ht="39.75" hidden="false" customHeight="true" outlineLevel="0" collapsed="false">
      <c r="B17" s="6" t="s">
        <v>12</v>
      </c>
    </row>
    <row r="19" customFormat="false" ht="16.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7" t="s">
        <v>14</v>
      </c>
    </row>
    <row r="21" customFormat="false" ht="15" hidden="false" customHeight="false" outlineLevel="0" collapsed="false">
      <c r="B21" s="7" t="s">
        <v>15</v>
      </c>
    </row>
    <row r="22" customFormat="false" ht="15" hidden="false" customHeight="false" outlineLevel="0" collapsed="false">
      <c r="B22" s="7" t="s">
        <v>16</v>
      </c>
    </row>
    <row r="24" customFormat="false" ht="16.15" hidden="false" customHeight="false" outlineLevel="0" collapsed="false">
      <c r="B24" s="3" t="s">
        <v>17</v>
      </c>
    </row>
    <row r="25" customFormat="false" ht="30" hidden="false" customHeight="true" outlineLevel="0" collapsed="false">
      <c r="B25" s="8" t="s">
        <v>18</v>
      </c>
    </row>
    <row r="27" customFormat="false" ht="16.15" hidden="false" customHeight="false" outlineLevel="0" collapsed="false">
      <c r="B27" s="3" t="s">
        <v>19</v>
      </c>
    </row>
    <row r="28" customFormat="false" ht="43.5" hidden="false" customHeight="true" outlineLevel="0" collapsed="false">
      <c r="B28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3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6"/>
  </cols>
  <sheetData>
    <row r="1" customFormat="false" ht="33.75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</row>
    <row r="2" customFormat="false" ht="35.05" hidden="false" customHeight="false" outlineLevel="0" collapsed="false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46</v>
      </c>
      <c r="K2" s="11" t="str">
        <f aca="false">IF(I2="","",IF(OR(ISNUMBER(SEARCH("NC",I2)),ISNUMBER(SEARCH("ND",I2))),"No",IF(OR(ISNUMBER(SEARCH("TBD",I2)),ISNUMBER(SEARCH("source",I2))),"Review","Yes")))</f>
        <v>Yes</v>
      </c>
      <c r="L2" s="10" t="s">
        <v>47</v>
      </c>
      <c r="M2" s="10" t="s">
        <v>48</v>
      </c>
      <c r="N2" s="10" t="s">
        <v>49</v>
      </c>
      <c r="O2" s="10" t="s">
        <v>50</v>
      </c>
      <c r="P2" s="10" t="s">
        <v>51</v>
      </c>
    </row>
    <row r="3" customFormat="false" ht="35.05" hidden="false" customHeight="false" outlineLevel="0" collapsed="false">
      <c r="A3" s="12" t="s">
        <v>52</v>
      </c>
      <c r="B3" s="12" t="s">
        <v>53</v>
      </c>
      <c r="C3" s="12" t="s">
        <v>54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1" t="str">
        <f aca="false">IF(I3="","",IF(OR(ISNUMBER(SEARCH("NC",I3)),ISNUMBER(SEARCH("ND",I3))),"No",IF(OR(ISNUMBER(SEARCH("TBD",I3)),ISNUMBER(SEARCH("source",I3))),"Review","Yes")))</f>
        <v>Yes</v>
      </c>
      <c r="L3" s="12" t="s">
        <v>62</v>
      </c>
      <c r="M3" s="12" t="s">
        <v>63</v>
      </c>
      <c r="N3" s="12" t="s">
        <v>49</v>
      </c>
      <c r="O3" s="12"/>
      <c r="P3" s="12" t="s">
        <v>64</v>
      </c>
    </row>
    <row r="4" customFormat="false" ht="35.05" hidden="false" customHeight="false" outlineLevel="0" collapsed="false">
      <c r="A4" s="12" t="s">
        <v>65</v>
      </c>
      <c r="B4" s="12" t="s">
        <v>53</v>
      </c>
      <c r="C4" s="12" t="s">
        <v>66</v>
      </c>
      <c r="D4" s="12" t="s">
        <v>67</v>
      </c>
      <c r="E4" s="12" t="s">
        <v>56</v>
      </c>
      <c r="F4" s="12" t="s">
        <v>57</v>
      </c>
      <c r="G4" s="12" t="s">
        <v>58</v>
      </c>
      <c r="H4" s="12" t="s">
        <v>59</v>
      </c>
      <c r="I4" s="12" t="s">
        <v>60</v>
      </c>
      <c r="J4" s="12" t="s">
        <v>61</v>
      </c>
      <c r="K4" s="11" t="str">
        <f aca="false">IF(I4="","",IF(OR(ISNUMBER(SEARCH("NC",I4)),ISNUMBER(SEARCH("ND",I4))),"No",IF(OR(ISNUMBER(SEARCH("TBD",I4)),ISNUMBER(SEARCH("source",I4))),"Review","Yes")))</f>
        <v>Yes</v>
      </c>
      <c r="L4" s="12" t="s">
        <v>62</v>
      </c>
      <c r="M4" s="12" t="s">
        <v>63</v>
      </c>
      <c r="N4" s="12" t="s">
        <v>49</v>
      </c>
      <c r="O4" s="12"/>
      <c r="P4" s="12" t="s">
        <v>64</v>
      </c>
    </row>
    <row r="5" customFormat="false" ht="35.05" hidden="false" customHeight="false" outlineLevel="0" collapsed="false">
      <c r="A5" s="12" t="s">
        <v>68</v>
      </c>
      <c r="B5" s="12" t="s">
        <v>53</v>
      </c>
      <c r="C5" s="12" t="s">
        <v>69</v>
      </c>
      <c r="D5" s="12" t="s">
        <v>70</v>
      </c>
      <c r="E5" s="12" t="s">
        <v>56</v>
      </c>
      <c r="F5" s="12" t="s">
        <v>57</v>
      </c>
      <c r="G5" s="12" t="s">
        <v>58</v>
      </c>
      <c r="H5" s="12" t="s">
        <v>59</v>
      </c>
      <c r="I5" s="12" t="s">
        <v>60</v>
      </c>
      <c r="J5" s="12" t="s">
        <v>61</v>
      </c>
      <c r="K5" s="11" t="str">
        <f aca="false">IF(I5="","",IF(OR(ISNUMBER(SEARCH("NC",I5)),ISNUMBER(SEARCH("ND",I5))),"No",IF(OR(ISNUMBER(SEARCH("TBD",I5)),ISNUMBER(SEARCH("source",I5))),"Review","Yes")))</f>
        <v>Yes</v>
      </c>
      <c r="L5" s="12" t="s">
        <v>62</v>
      </c>
      <c r="M5" s="12" t="s">
        <v>63</v>
      </c>
      <c r="N5" s="12" t="s">
        <v>49</v>
      </c>
      <c r="O5" s="12"/>
      <c r="P5" s="12" t="s">
        <v>64</v>
      </c>
    </row>
    <row r="6" customFormat="false" ht="35.05" hidden="false" customHeight="false" outlineLevel="0" collapsed="false">
      <c r="A6" s="12" t="s">
        <v>71</v>
      </c>
      <c r="B6" s="12" t="s">
        <v>53</v>
      </c>
      <c r="C6" s="12" t="s">
        <v>72</v>
      </c>
      <c r="D6" s="12" t="s">
        <v>73</v>
      </c>
      <c r="E6" s="12" t="s">
        <v>56</v>
      </c>
      <c r="F6" s="12" t="s">
        <v>57</v>
      </c>
      <c r="G6" s="12" t="s">
        <v>58</v>
      </c>
      <c r="H6" s="12" t="s">
        <v>59</v>
      </c>
      <c r="I6" s="12" t="s">
        <v>60</v>
      </c>
      <c r="J6" s="12" t="s">
        <v>61</v>
      </c>
      <c r="K6" s="11" t="str">
        <f aca="false">IF(I6="","",IF(OR(ISNUMBER(SEARCH("NC",I6)),ISNUMBER(SEARCH("ND",I6))),"No",IF(OR(ISNUMBER(SEARCH("TBD",I6)),ISNUMBER(SEARCH("source",I6))),"Review","Yes")))</f>
        <v>Yes</v>
      </c>
      <c r="L6" s="12" t="s">
        <v>62</v>
      </c>
      <c r="M6" s="12" t="s">
        <v>63</v>
      </c>
      <c r="N6" s="12" t="s">
        <v>49</v>
      </c>
      <c r="O6" s="12"/>
      <c r="P6" s="12" t="s">
        <v>64</v>
      </c>
    </row>
    <row r="7" customFormat="false" ht="35.05" hidden="false" customHeight="false" outlineLevel="0" collapsed="false">
      <c r="A7" s="12" t="s">
        <v>74</v>
      </c>
      <c r="B7" s="12" t="s">
        <v>53</v>
      </c>
      <c r="C7" s="12" t="s">
        <v>75</v>
      </c>
      <c r="D7" s="12" t="s">
        <v>76</v>
      </c>
      <c r="E7" s="12" t="s">
        <v>56</v>
      </c>
      <c r="F7" s="12" t="s">
        <v>57</v>
      </c>
      <c r="G7" s="12" t="s">
        <v>58</v>
      </c>
      <c r="H7" s="12" t="s">
        <v>59</v>
      </c>
      <c r="I7" s="12" t="s">
        <v>60</v>
      </c>
      <c r="J7" s="12" t="s">
        <v>61</v>
      </c>
      <c r="K7" s="11" t="str">
        <f aca="false">IF(I7="","",IF(OR(ISNUMBER(SEARCH("NC",I7)),ISNUMBER(SEARCH("ND",I7))),"No",IF(OR(ISNUMBER(SEARCH("TBD",I7)),ISNUMBER(SEARCH("source",I7))),"Review","Yes")))</f>
        <v>Yes</v>
      </c>
      <c r="L7" s="12" t="s">
        <v>62</v>
      </c>
      <c r="M7" s="12" t="s">
        <v>63</v>
      </c>
      <c r="N7" s="12" t="s">
        <v>49</v>
      </c>
      <c r="O7" s="12"/>
      <c r="P7" s="12" t="s">
        <v>64</v>
      </c>
    </row>
    <row r="8" customFormat="false" ht="35.05" hidden="false" customHeight="false" outlineLevel="0" collapsed="false">
      <c r="A8" s="12" t="s">
        <v>77</v>
      </c>
      <c r="B8" s="12" t="s">
        <v>53</v>
      </c>
      <c r="C8" s="12" t="s">
        <v>78</v>
      </c>
      <c r="D8" s="12" t="s">
        <v>79</v>
      </c>
      <c r="E8" s="12" t="s">
        <v>56</v>
      </c>
      <c r="F8" s="12" t="s">
        <v>57</v>
      </c>
      <c r="G8" s="12" t="s">
        <v>58</v>
      </c>
      <c r="H8" s="12" t="s">
        <v>59</v>
      </c>
      <c r="I8" s="12" t="s">
        <v>60</v>
      </c>
      <c r="J8" s="12" t="s">
        <v>61</v>
      </c>
      <c r="K8" s="11" t="str">
        <f aca="false">IF(I8="","",IF(OR(ISNUMBER(SEARCH("NC",I8)),ISNUMBER(SEARCH("ND",I8))),"No",IF(OR(ISNUMBER(SEARCH("TBD",I8)),ISNUMBER(SEARCH("source",I8))),"Review","Yes")))</f>
        <v>Yes</v>
      </c>
      <c r="L8" s="12" t="s">
        <v>62</v>
      </c>
      <c r="M8" s="12" t="s">
        <v>63</v>
      </c>
      <c r="N8" s="12" t="s">
        <v>49</v>
      </c>
      <c r="O8" s="12"/>
      <c r="P8" s="12" t="s">
        <v>64</v>
      </c>
    </row>
    <row r="9" customFormat="false" ht="35.05" hidden="false" customHeight="false" outlineLevel="0" collapsed="false">
      <c r="A9" s="12" t="s">
        <v>80</v>
      </c>
      <c r="B9" s="12" t="s">
        <v>81</v>
      </c>
      <c r="C9" s="12" t="s">
        <v>54</v>
      </c>
      <c r="D9" s="12" t="s">
        <v>82</v>
      </c>
      <c r="E9" s="12" t="s">
        <v>56</v>
      </c>
      <c r="F9" s="12" t="s">
        <v>57</v>
      </c>
      <c r="G9" s="12" t="s">
        <v>58</v>
      </c>
      <c r="H9" s="12" t="s">
        <v>59</v>
      </c>
      <c r="I9" s="12" t="s">
        <v>60</v>
      </c>
      <c r="J9" s="12" t="s">
        <v>61</v>
      </c>
      <c r="K9" s="11" t="str">
        <f aca="false">IF(I9="","",IF(OR(ISNUMBER(SEARCH("NC",I9)),ISNUMBER(SEARCH("ND",I9))),"No",IF(OR(ISNUMBER(SEARCH("TBD",I9)),ISNUMBER(SEARCH("source",I9))),"Review","Yes")))</f>
        <v>Yes</v>
      </c>
      <c r="L9" s="12" t="s">
        <v>62</v>
      </c>
      <c r="M9" s="12" t="s">
        <v>63</v>
      </c>
      <c r="N9" s="12" t="s">
        <v>49</v>
      </c>
      <c r="O9" s="12"/>
      <c r="P9" s="12" t="s">
        <v>64</v>
      </c>
    </row>
    <row r="10" customFormat="false" ht="35.05" hidden="false" customHeight="false" outlineLevel="0" collapsed="false">
      <c r="A10" s="12" t="s">
        <v>83</v>
      </c>
      <c r="B10" s="12" t="s">
        <v>81</v>
      </c>
      <c r="C10" s="12" t="s">
        <v>66</v>
      </c>
      <c r="D10" s="12" t="s">
        <v>84</v>
      </c>
      <c r="E10" s="12" t="s">
        <v>56</v>
      </c>
      <c r="F10" s="12" t="s">
        <v>57</v>
      </c>
      <c r="G10" s="12" t="s">
        <v>58</v>
      </c>
      <c r="H10" s="12" t="s">
        <v>59</v>
      </c>
      <c r="I10" s="12" t="s">
        <v>60</v>
      </c>
      <c r="J10" s="12" t="s">
        <v>61</v>
      </c>
      <c r="K10" s="11" t="str">
        <f aca="false">IF(I10="","",IF(OR(ISNUMBER(SEARCH("NC",I10)),ISNUMBER(SEARCH("ND",I10))),"No",IF(OR(ISNUMBER(SEARCH("TBD",I10)),ISNUMBER(SEARCH("source",I10))),"Review","Yes")))</f>
        <v>Yes</v>
      </c>
      <c r="L10" s="12" t="s">
        <v>62</v>
      </c>
      <c r="M10" s="12" t="s">
        <v>63</v>
      </c>
      <c r="N10" s="12" t="s">
        <v>49</v>
      </c>
      <c r="O10" s="12"/>
      <c r="P10" s="12" t="s">
        <v>64</v>
      </c>
    </row>
    <row r="11" customFormat="false" ht="35.05" hidden="false" customHeight="false" outlineLevel="0" collapsed="false">
      <c r="A11" s="12" t="s">
        <v>85</v>
      </c>
      <c r="B11" s="12" t="s">
        <v>81</v>
      </c>
      <c r="C11" s="12" t="s">
        <v>69</v>
      </c>
      <c r="D11" s="12" t="s">
        <v>86</v>
      </c>
      <c r="E11" s="12" t="s">
        <v>56</v>
      </c>
      <c r="F11" s="12" t="s">
        <v>57</v>
      </c>
      <c r="G11" s="12" t="s">
        <v>58</v>
      </c>
      <c r="H11" s="12" t="s">
        <v>59</v>
      </c>
      <c r="I11" s="12" t="s">
        <v>60</v>
      </c>
      <c r="J11" s="12" t="s">
        <v>61</v>
      </c>
      <c r="K11" s="11" t="str">
        <f aca="false">IF(I11="","",IF(OR(ISNUMBER(SEARCH("NC",I11)),ISNUMBER(SEARCH("ND",I11))),"No",IF(OR(ISNUMBER(SEARCH("TBD",I11)),ISNUMBER(SEARCH("source",I11))),"Review","Yes")))</f>
        <v>Yes</v>
      </c>
      <c r="L11" s="12" t="s">
        <v>62</v>
      </c>
      <c r="M11" s="12" t="s">
        <v>63</v>
      </c>
      <c r="N11" s="12" t="s">
        <v>49</v>
      </c>
      <c r="O11" s="12"/>
      <c r="P11" s="12" t="s">
        <v>64</v>
      </c>
    </row>
    <row r="12" customFormat="false" ht="35.05" hidden="false" customHeight="false" outlineLevel="0" collapsed="false">
      <c r="A12" s="12" t="s">
        <v>87</v>
      </c>
      <c r="B12" s="12" t="s">
        <v>88</v>
      </c>
      <c r="C12" s="12" t="s">
        <v>54</v>
      </c>
      <c r="D12" s="12" t="s">
        <v>89</v>
      </c>
      <c r="E12" s="12" t="s">
        <v>56</v>
      </c>
      <c r="F12" s="12" t="s">
        <v>57</v>
      </c>
      <c r="G12" s="12" t="s">
        <v>58</v>
      </c>
      <c r="H12" s="12" t="s">
        <v>59</v>
      </c>
      <c r="I12" s="12" t="s">
        <v>60</v>
      </c>
      <c r="J12" s="12" t="s">
        <v>61</v>
      </c>
      <c r="K12" s="11" t="str">
        <f aca="false">IF(I12="","",IF(OR(ISNUMBER(SEARCH("NC",I12)),ISNUMBER(SEARCH("ND",I12))),"No",IF(OR(ISNUMBER(SEARCH("TBD",I12)),ISNUMBER(SEARCH("source",I12))),"Review","Yes")))</f>
        <v>Yes</v>
      </c>
      <c r="L12" s="12" t="s">
        <v>62</v>
      </c>
      <c r="M12" s="12" t="s">
        <v>63</v>
      </c>
      <c r="N12" s="12" t="s">
        <v>49</v>
      </c>
      <c r="O12" s="12"/>
      <c r="P12" s="12" t="s">
        <v>64</v>
      </c>
    </row>
    <row r="13" customFormat="false" ht="35.05" hidden="false" customHeight="false" outlineLevel="0" collapsed="false">
      <c r="A13" s="12" t="s">
        <v>90</v>
      </c>
      <c r="B13" s="12" t="s">
        <v>88</v>
      </c>
      <c r="C13" s="12" t="s">
        <v>66</v>
      </c>
      <c r="D13" s="12" t="s">
        <v>91</v>
      </c>
      <c r="E13" s="12" t="s">
        <v>56</v>
      </c>
      <c r="F13" s="12" t="s">
        <v>57</v>
      </c>
      <c r="G13" s="12" t="s">
        <v>58</v>
      </c>
      <c r="H13" s="12" t="s">
        <v>59</v>
      </c>
      <c r="I13" s="12" t="s">
        <v>60</v>
      </c>
      <c r="J13" s="12" t="s">
        <v>61</v>
      </c>
      <c r="K13" s="11" t="str">
        <f aca="false">IF(I13="","",IF(OR(ISNUMBER(SEARCH("NC",I13)),ISNUMBER(SEARCH("ND",I13))),"No",IF(OR(ISNUMBER(SEARCH("TBD",I13)),ISNUMBER(SEARCH("source",I13))),"Review","Yes")))</f>
        <v>Yes</v>
      </c>
      <c r="L13" s="12" t="s">
        <v>62</v>
      </c>
      <c r="M13" s="12" t="s">
        <v>63</v>
      </c>
      <c r="N13" s="12" t="s">
        <v>49</v>
      </c>
      <c r="O13" s="12"/>
      <c r="P13" s="12" t="s">
        <v>64</v>
      </c>
    </row>
    <row r="14" customFormat="false" ht="35.05" hidden="false" customHeight="false" outlineLevel="0" collapsed="false">
      <c r="A14" s="12" t="s">
        <v>92</v>
      </c>
      <c r="B14" s="12" t="s">
        <v>88</v>
      </c>
      <c r="C14" s="12" t="s">
        <v>69</v>
      </c>
      <c r="D14" s="12" t="s">
        <v>93</v>
      </c>
      <c r="E14" s="12" t="s">
        <v>56</v>
      </c>
      <c r="F14" s="12" t="s">
        <v>57</v>
      </c>
      <c r="G14" s="12" t="s">
        <v>58</v>
      </c>
      <c r="H14" s="12" t="s">
        <v>59</v>
      </c>
      <c r="I14" s="12" t="s">
        <v>60</v>
      </c>
      <c r="J14" s="12" t="s">
        <v>61</v>
      </c>
      <c r="K14" s="11" t="str">
        <f aca="false">IF(I14="","",IF(OR(ISNUMBER(SEARCH("NC",I14)),ISNUMBER(SEARCH("ND",I14))),"No",IF(OR(ISNUMBER(SEARCH("TBD",I14)),ISNUMBER(SEARCH("source",I14))),"Review","Yes")))</f>
        <v>Yes</v>
      </c>
      <c r="L14" s="12" t="s">
        <v>62</v>
      </c>
      <c r="M14" s="12" t="s">
        <v>63</v>
      </c>
      <c r="N14" s="12" t="s">
        <v>49</v>
      </c>
      <c r="O14" s="12"/>
      <c r="P14" s="12" t="s">
        <v>64</v>
      </c>
    </row>
    <row r="15" customFormat="false" ht="35.05" hidden="false" customHeight="false" outlineLevel="0" collapsed="false">
      <c r="A15" s="12" t="s">
        <v>94</v>
      </c>
      <c r="B15" s="12" t="s">
        <v>88</v>
      </c>
      <c r="C15" s="12" t="s">
        <v>72</v>
      </c>
      <c r="D15" s="12" t="s">
        <v>95</v>
      </c>
      <c r="E15" s="12" t="s">
        <v>56</v>
      </c>
      <c r="F15" s="12" t="s">
        <v>57</v>
      </c>
      <c r="G15" s="12" t="s">
        <v>58</v>
      </c>
      <c r="H15" s="12" t="s">
        <v>59</v>
      </c>
      <c r="I15" s="12" t="s">
        <v>60</v>
      </c>
      <c r="J15" s="12" t="s">
        <v>61</v>
      </c>
      <c r="K15" s="11" t="str">
        <f aca="false">IF(I15="","",IF(OR(ISNUMBER(SEARCH("NC",I15)),ISNUMBER(SEARCH("ND",I15))),"No",IF(OR(ISNUMBER(SEARCH("TBD",I15)),ISNUMBER(SEARCH("source",I15))),"Review","Yes")))</f>
        <v>Yes</v>
      </c>
      <c r="L15" s="12" t="s">
        <v>62</v>
      </c>
      <c r="M15" s="12" t="s">
        <v>63</v>
      </c>
      <c r="N15" s="12" t="s">
        <v>49</v>
      </c>
      <c r="O15" s="12"/>
      <c r="P15" s="12" t="s">
        <v>64</v>
      </c>
    </row>
    <row r="16" customFormat="false" ht="35.05" hidden="false" customHeight="false" outlineLevel="0" collapsed="false">
      <c r="A16" s="12" t="s">
        <v>96</v>
      </c>
      <c r="B16" s="12" t="s">
        <v>38</v>
      </c>
      <c r="C16" s="12" t="s">
        <v>54</v>
      </c>
      <c r="D16" s="12" t="s">
        <v>97</v>
      </c>
      <c r="E16" s="12" t="s">
        <v>56</v>
      </c>
      <c r="F16" s="12" t="s">
        <v>57</v>
      </c>
      <c r="G16" s="12" t="s">
        <v>58</v>
      </c>
      <c r="H16" s="12" t="s">
        <v>59</v>
      </c>
      <c r="I16" s="12" t="s">
        <v>60</v>
      </c>
      <c r="J16" s="12" t="s">
        <v>61</v>
      </c>
      <c r="K16" s="11" t="str">
        <f aca="false">IF(I16="","",IF(OR(ISNUMBER(SEARCH("NC",I16)),ISNUMBER(SEARCH("ND",I16))),"No",IF(OR(ISNUMBER(SEARCH("TBD",I16)),ISNUMBER(SEARCH("source",I16))),"Review","Yes")))</f>
        <v>Yes</v>
      </c>
      <c r="L16" s="12" t="s">
        <v>62</v>
      </c>
      <c r="M16" s="12" t="s">
        <v>63</v>
      </c>
      <c r="N16" s="12" t="s">
        <v>49</v>
      </c>
      <c r="O16" s="12"/>
      <c r="P16" s="12" t="s">
        <v>64</v>
      </c>
    </row>
    <row r="17" customFormat="false" ht="35.05" hidden="false" customHeight="false" outlineLevel="0" collapsed="false">
      <c r="A17" s="12" t="s">
        <v>98</v>
      </c>
      <c r="B17" s="12" t="s">
        <v>38</v>
      </c>
      <c r="C17" s="12" t="s">
        <v>66</v>
      </c>
      <c r="D17" s="12" t="s">
        <v>99</v>
      </c>
      <c r="E17" s="12" t="s">
        <v>56</v>
      </c>
      <c r="F17" s="12" t="s">
        <v>57</v>
      </c>
      <c r="G17" s="12" t="s">
        <v>58</v>
      </c>
      <c r="H17" s="12" t="s">
        <v>59</v>
      </c>
      <c r="I17" s="12" t="s">
        <v>60</v>
      </c>
      <c r="J17" s="12" t="s">
        <v>61</v>
      </c>
      <c r="K17" s="11" t="str">
        <f aca="false">IF(I17="","",IF(OR(ISNUMBER(SEARCH("NC",I17)),ISNUMBER(SEARCH("ND",I17))),"No",IF(OR(ISNUMBER(SEARCH("TBD",I17)),ISNUMBER(SEARCH("source",I17))),"Review","Yes")))</f>
        <v>Yes</v>
      </c>
      <c r="L17" s="12" t="s">
        <v>62</v>
      </c>
      <c r="M17" s="12" t="s">
        <v>63</v>
      </c>
      <c r="N17" s="12" t="s">
        <v>49</v>
      </c>
      <c r="O17" s="12"/>
      <c r="P17" s="12" t="s">
        <v>64</v>
      </c>
    </row>
    <row r="18" customFormat="false" ht="35.05" hidden="false" customHeight="false" outlineLevel="0" collapsed="false">
      <c r="A18" s="12" t="s">
        <v>100</v>
      </c>
      <c r="B18" s="12" t="s">
        <v>38</v>
      </c>
      <c r="C18" s="12" t="s">
        <v>69</v>
      </c>
      <c r="D18" s="12" t="s">
        <v>101</v>
      </c>
      <c r="E18" s="12" t="s">
        <v>56</v>
      </c>
      <c r="F18" s="12" t="s">
        <v>57</v>
      </c>
      <c r="G18" s="12" t="s">
        <v>58</v>
      </c>
      <c r="H18" s="12" t="s">
        <v>59</v>
      </c>
      <c r="I18" s="12" t="s">
        <v>60</v>
      </c>
      <c r="J18" s="12" t="s">
        <v>61</v>
      </c>
      <c r="K18" s="11" t="str">
        <f aca="false">IF(I18="","",IF(OR(ISNUMBER(SEARCH("NC",I18)),ISNUMBER(SEARCH("ND",I18))),"No",IF(OR(ISNUMBER(SEARCH("TBD",I18)),ISNUMBER(SEARCH("source",I18))),"Review","Yes")))</f>
        <v>Yes</v>
      </c>
      <c r="L18" s="12" t="s">
        <v>62</v>
      </c>
      <c r="M18" s="12" t="s">
        <v>63</v>
      </c>
      <c r="N18" s="12" t="s">
        <v>49</v>
      </c>
      <c r="O18" s="12"/>
      <c r="P18" s="12" t="s">
        <v>64</v>
      </c>
    </row>
    <row r="19" customFormat="false" ht="35.05" hidden="false" customHeight="false" outlineLevel="0" collapsed="false">
      <c r="A19" s="12" t="s">
        <v>102</v>
      </c>
      <c r="B19" s="12" t="s">
        <v>38</v>
      </c>
      <c r="C19" s="12" t="s">
        <v>72</v>
      </c>
      <c r="D19" s="12" t="s">
        <v>103</v>
      </c>
      <c r="E19" s="12" t="s">
        <v>56</v>
      </c>
      <c r="F19" s="12" t="s">
        <v>57</v>
      </c>
      <c r="G19" s="12" t="s">
        <v>58</v>
      </c>
      <c r="H19" s="12" t="s">
        <v>59</v>
      </c>
      <c r="I19" s="12" t="s">
        <v>60</v>
      </c>
      <c r="J19" s="12" t="s">
        <v>61</v>
      </c>
      <c r="K19" s="11" t="str">
        <f aca="false">IF(I19="","",IF(OR(ISNUMBER(SEARCH("NC",I19)),ISNUMBER(SEARCH("ND",I19))),"No",IF(OR(ISNUMBER(SEARCH("TBD",I19)),ISNUMBER(SEARCH("source",I19))),"Review","Yes")))</f>
        <v>Yes</v>
      </c>
      <c r="L19" s="12" t="s">
        <v>62</v>
      </c>
      <c r="M19" s="12" t="s">
        <v>63</v>
      </c>
      <c r="N19" s="12" t="s">
        <v>49</v>
      </c>
      <c r="O19" s="12"/>
      <c r="P19" s="12" t="s">
        <v>64</v>
      </c>
    </row>
    <row r="20" customFormat="false" ht="35.05" hidden="false" customHeight="false" outlineLevel="0" collapsed="false">
      <c r="A20" s="13" t="s">
        <v>104</v>
      </c>
      <c r="B20" s="13" t="s">
        <v>38</v>
      </c>
      <c r="C20" s="13" t="s">
        <v>105</v>
      </c>
      <c r="D20" s="13" t="s">
        <v>106</v>
      </c>
      <c r="E20" s="13" t="s">
        <v>41</v>
      </c>
      <c r="F20" s="13" t="s">
        <v>42</v>
      </c>
      <c r="G20" s="13" t="s">
        <v>107</v>
      </c>
      <c r="H20" s="13" t="s">
        <v>108</v>
      </c>
      <c r="I20" s="13" t="s">
        <v>109</v>
      </c>
      <c r="J20" s="13"/>
      <c r="K20" s="11" t="str">
        <f aca="false">IF(I20="","",IF(OR(ISNUMBER(SEARCH("NC",I20)),ISNUMBER(SEARCH("ND",I20))),"No",IF(OR(ISNUMBER(SEARCH("TBD",I20)),ISNUMBER(SEARCH("source",I20))),"Review","Yes")))</f>
        <v>Review</v>
      </c>
      <c r="L20" s="13" t="s">
        <v>110</v>
      </c>
      <c r="M20" s="13" t="s">
        <v>111</v>
      </c>
      <c r="N20" s="13"/>
      <c r="O20" s="13"/>
      <c r="P20" s="13" t="s">
        <v>112</v>
      </c>
    </row>
    <row r="21" customFormat="false" ht="46.25" hidden="false" customHeight="false" outlineLevel="0" collapsed="false">
      <c r="A21" s="13" t="s">
        <v>113</v>
      </c>
      <c r="B21" s="13" t="s">
        <v>38</v>
      </c>
      <c r="C21" s="13" t="s">
        <v>39</v>
      </c>
      <c r="D21" s="13" t="s">
        <v>114</v>
      </c>
      <c r="E21" s="13" t="s">
        <v>41</v>
      </c>
      <c r="F21" s="13" t="s">
        <v>42</v>
      </c>
      <c r="G21" s="13" t="s">
        <v>107</v>
      </c>
      <c r="H21" s="13" t="s">
        <v>115</v>
      </c>
      <c r="I21" s="13" t="s">
        <v>109</v>
      </c>
      <c r="J21" s="13"/>
      <c r="K21" s="11" t="str">
        <f aca="false">IF(I21="","",IF(OR(ISNUMBER(SEARCH("NC",I21)),ISNUMBER(SEARCH("ND",I21))),"No",IF(OR(ISNUMBER(SEARCH("TBD",I21)),ISNUMBER(SEARCH("source",I21))),"Review","Yes")))</f>
        <v>Review</v>
      </c>
      <c r="L21" s="13" t="s">
        <v>110</v>
      </c>
      <c r="M21" s="13" t="s">
        <v>111</v>
      </c>
      <c r="N21" s="13"/>
      <c r="O21" s="13"/>
      <c r="P21" s="13" t="s">
        <v>112</v>
      </c>
    </row>
    <row r="22" customFormat="false" ht="46.25" hidden="false" customHeight="false" outlineLevel="0" collapsed="false">
      <c r="A22" s="13" t="s">
        <v>116</v>
      </c>
      <c r="B22" s="13" t="s">
        <v>38</v>
      </c>
      <c r="C22" s="13" t="s">
        <v>117</v>
      </c>
      <c r="D22" s="13" t="s">
        <v>118</v>
      </c>
      <c r="E22" s="13" t="s">
        <v>41</v>
      </c>
      <c r="F22" s="13" t="s">
        <v>42</v>
      </c>
      <c r="G22" s="13" t="s">
        <v>107</v>
      </c>
      <c r="H22" s="13" t="s">
        <v>119</v>
      </c>
      <c r="I22" s="13" t="s">
        <v>109</v>
      </c>
      <c r="J22" s="13"/>
      <c r="K22" s="11" t="str">
        <f aca="false">IF(I22="","",IF(OR(ISNUMBER(SEARCH("NC",I22)),ISNUMBER(SEARCH("ND",I22))),"No",IF(OR(ISNUMBER(SEARCH("TBD",I22)),ISNUMBER(SEARCH("source",I22))),"Review","Yes")))</f>
        <v>Review</v>
      </c>
      <c r="L22" s="13" t="s">
        <v>110</v>
      </c>
      <c r="M22" s="13" t="s">
        <v>111</v>
      </c>
      <c r="N22" s="13"/>
      <c r="O22" s="13"/>
      <c r="P22" s="13" t="s">
        <v>112</v>
      </c>
    </row>
    <row r="23" customFormat="false" ht="46.25" hidden="false" customHeight="false" outlineLevel="0" collapsed="false">
      <c r="A23" s="13" t="s">
        <v>120</v>
      </c>
      <c r="B23" s="13" t="s">
        <v>38</v>
      </c>
      <c r="C23" s="13" t="s">
        <v>39</v>
      </c>
      <c r="D23" s="13" t="s">
        <v>121</v>
      </c>
      <c r="E23" s="13" t="s">
        <v>41</v>
      </c>
      <c r="F23" s="13" t="s">
        <v>122</v>
      </c>
      <c r="G23" s="13" t="s">
        <v>107</v>
      </c>
      <c r="H23" s="13" t="s">
        <v>123</v>
      </c>
      <c r="I23" s="13" t="s">
        <v>109</v>
      </c>
      <c r="J23" s="13"/>
      <c r="K23" s="11" t="str">
        <f aca="false">IF(I23="","",IF(OR(ISNUMBER(SEARCH("NC",I23)),ISNUMBER(SEARCH("ND",I23))),"No",IF(OR(ISNUMBER(SEARCH("TBD",I23)),ISNUMBER(SEARCH("source",I23))),"Review","Yes")))</f>
        <v>Review</v>
      </c>
      <c r="L23" s="13" t="s">
        <v>110</v>
      </c>
      <c r="M23" s="13" t="s">
        <v>111</v>
      </c>
      <c r="N23" s="13"/>
      <c r="O23" s="13"/>
      <c r="P23" s="13" t="s">
        <v>112</v>
      </c>
    </row>
    <row r="24" customFormat="false" ht="23.85" hidden="false" customHeight="false" outlineLevel="0" collapsed="false">
      <c r="A24" s="13" t="s">
        <v>124</v>
      </c>
      <c r="B24" s="13" t="s">
        <v>38</v>
      </c>
      <c r="C24" s="13" t="s">
        <v>125</v>
      </c>
      <c r="D24" s="13" t="s">
        <v>126</v>
      </c>
      <c r="E24" s="13" t="s">
        <v>41</v>
      </c>
      <c r="F24" s="13" t="s">
        <v>42</v>
      </c>
      <c r="G24" s="13" t="s">
        <v>107</v>
      </c>
      <c r="H24" s="13" t="s">
        <v>127</v>
      </c>
      <c r="I24" s="13" t="s">
        <v>109</v>
      </c>
      <c r="J24" s="13"/>
      <c r="K24" s="11" t="str">
        <f aca="false">IF(I24="","",IF(OR(ISNUMBER(SEARCH("NC",I24)),ISNUMBER(SEARCH("ND",I24))),"No",IF(OR(ISNUMBER(SEARCH("TBD",I24)),ISNUMBER(SEARCH("source",I24))),"Review","Yes")))</f>
        <v>Review</v>
      </c>
      <c r="L24" s="13" t="s">
        <v>110</v>
      </c>
      <c r="M24" s="13" t="s">
        <v>111</v>
      </c>
      <c r="N24" s="13"/>
      <c r="O24" s="13"/>
      <c r="P24" s="13" t="s">
        <v>112</v>
      </c>
    </row>
    <row r="25" customFormat="false" ht="35.05" hidden="false" customHeight="false" outlineLevel="0" collapsed="false">
      <c r="A25" s="13" t="s">
        <v>128</v>
      </c>
      <c r="B25" s="13" t="s">
        <v>38</v>
      </c>
      <c r="C25" s="13" t="s">
        <v>129</v>
      </c>
      <c r="D25" s="13" t="s">
        <v>130</v>
      </c>
      <c r="E25" s="13" t="s">
        <v>41</v>
      </c>
      <c r="F25" s="13" t="s">
        <v>42</v>
      </c>
      <c r="G25" s="13" t="s">
        <v>131</v>
      </c>
      <c r="H25" s="13" t="s">
        <v>132</v>
      </c>
      <c r="I25" s="13" t="s">
        <v>109</v>
      </c>
      <c r="J25" s="13"/>
      <c r="K25" s="11" t="str">
        <f aca="false">IF(I25="","",IF(OR(ISNUMBER(SEARCH("NC",I25)),ISNUMBER(SEARCH("ND",I25))),"No",IF(OR(ISNUMBER(SEARCH("TBD",I25)),ISNUMBER(SEARCH("source",I25))),"Review","Yes")))</f>
        <v>Review</v>
      </c>
      <c r="L25" s="13" t="s">
        <v>110</v>
      </c>
      <c r="M25" s="13" t="s">
        <v>111</v>
      </c>
      <c r="N25" s="13"/>
      <c r="O25" s="13"/>
      <c r="P25" s="13" t="s">
        <v>112</v>
      </c>
    </row>
    <row r="26" customFormat="false" ht="35.05" hidden="false" customHeight="false" outlineLevel="0" collapsed="false">
      <c r="A26" s="13" t="s">
        <v>133</v>
      </c>
      <c r="B26" s="13" t="s">
        <v>38</v>
      </c>
      <c r="C26" s="13" t="s">
        <v>134</v>
      </c>
      <c r="D26" s="13" t="s">
        <v>135</v>
      </c>
      <c r="E26" s="13" t="s">
        <v>41</v>
      </c>
      <c r="F26" s="13" t="s">
        <v>42</v>
      </c>
      <c r="G26" s="13" t="s">
        <v>131</v>
      </c>
      <c r="H26" s="13" t="s">
        <v>108</v>
      </c>
      <c r="I26" s="13" t="s">
        <v>109</v>
      </c>
      <c r="J26" s="13"/>
      <c r="K26" s="11" t="str">
        <f aca="false">IF(I26="","",IF(OR(ISNUMBER(SEARCH("NC",I26)),ISNUMBER(SEARCH("ND",I26))),"No",IF(OR(ISNUMBER(SEARCH("TBD",I26)),ISNUMBER(SEARCH("source",I26))),"Review","Yes")))</f>
        <v>Review</v>
      </c>
      <c r="L26" s="13" t="s">
        <v>110</v>
      </c>
      <c r="M26" s="13" t="s">
        <v>111</v>
      </c>
      <c r="N26" s="13"/>
      <c r="O26" s="13"/>
      <c r="P26" s="13" t="s">
        <v>112</v>
      </c>
    </row>
  </sheetData>
  <autoFilter ref="A1:P26"/>
  <conditionalFormatting sqref="K2:K26">
    <cfRule type="cellIs" priority="2" operator="equal" aboveAverage="0" equalAverage="0" bottom="0" percent="0" rank="0" text="" dxfId="10">
      <formula>"Yes"</formula>
    </cfRule>
    <cfRule type="cellIs" priority="3" operator="equal" aboveAverage="0" equalAverage="0" bottom="0" percent="0" rank="0" text="" dxfId="11">
      <formula>"No"</formula>
    </cfRule>
    <cfRule type="cellIs" priority="4" operator="equal" aboveAverage="0" equalAverage="0" bottom="0" percent="0" rank="0" text="" dxfId="12">
      <formula>"Review"</formula>
    </cfRule>
  </conditionalFormatting>
  <dataValidations count="3">
    <dataValidation allowBlank="true" errorStyle="stop" operator="between" showDropDown="false" showErrorMessage="false" showInputMessage="false" sqref="E2:E26" type="list">
      <formula1>"Original illustration,Third-party image"</formula1>
      <formula2>0</formula2>
    </dataValidation>
    <dataValidation allowBlank="true" errorStyle="stop" operator="between" showDropDown="false" showErrorMessage="false" showInputMessage="false" sqref="I2:I26" type="list">
      <formula1>"Own work – original,Public Domain / CC0,CC BY 4.0,CC BY-SA 4.0,CC BY-NC 4.0,CC BY-NC-SA 4.0,CC BY-NC-ND 4.0,To source / TBD"</formula1>
      <formula2>0</formula2>
    </dataValidation>
    <dataValidation allowBlank="true" errorStyle="stop" operator="between" showDropDown="false" showErrorMessage="false" showInputMessage="false" sqref="L2:L26" type="list">
      <formula1>"Created from scratch,None,Cropped,Annotated,Cropped + annotated"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2026-07-14T00:41:19Z</dcterms:created>
  <dc:creator>openpyxl</dc:creator>
  <dc:description/>
  <dc:language>en-US</dc:language>
  <cp:lastModifiedBy/>
  <dcterms:modified xsi:type="dcterms:W3CDTF">2026-07-14T00:41:19Z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